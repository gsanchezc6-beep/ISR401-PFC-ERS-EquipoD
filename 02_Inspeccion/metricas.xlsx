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SR401-PFC-ERS-EquipoD\02_Inspeccion\"/>
    </mc:Choice>
  </mc:AlternateContent>
  <xr:revisionPtr revIDLastSave="0" documentId="13_ncr:1_{DE09D244-0324-4D49-823C-1C842E90EB03}" xr6:coauthVersionLast="47" xr6:coauthVersionMax="47" xr10:uidLastSave="{00000000-0000-0000-0000-000000000000}"/>
  <bookViews>
    <workbookView xWindow="-120" yWindow="-120" windowWidth="29040" windowHeight="15720" tabRatio="500" xr2:uid="{00000000-000D-0000-FFFF-FFFF00000000}"/>
  </bookViews>
  <sheets>
    <sheet name="metricas" sheetId="1" r:id="rId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1" i="1" l="1"/>
  <c r="D33" i="1"/>
  <c r="C33" i="1"/>
  <c r="E33" i="1" s="1"/>
</calcChain>
</file>

<file path=xl/sharedStrings.xml><?xml version="1.0" encoding="utf-8"?>
<sst xmlns="http://schemas.openxmlformats.org/spreadsheetml/2006/main" count="65" uniqueCount="57">
  <si>
    <t>Metricas de la inspeccion Fagan - ERS MundiPets v1.0</t>
  </si>
  <si>
    <t>Documento</t>
  </si>
  <si>
    <t>Paginas efectivas</t>
  </si>
  <si>
    <t>Defectos unicos consolidados</t>
  </si>
  <si>
    <t>Esfuerzo total</t>
  </si>
  <si>
    <t>horas-persona</t>
  </si>
  <si>
    <t>Fuente de los datos</t>
  </si>
  <si>
    <t>02_Inspeccion/AnexoB_registro_defectos.csv y registro_horas_preparacion.csv</t>
  </si>
  <si>
    <t>M1 - DENSIDAD DE DEFECTOS</t>
  </si>
  <si>
    <t>Defectos</t>
  </si>
  <si>
    <t>Paginas</t>
  </si>
  <si>
    <t>Densidad (def./pagina)</t>
  </si>
  <si>
    <t>Interpretacion</t>
  </si>
  <si>
    <t>Con 0,122 defectos por pagina el ERS presenta una densidad baja para un documento de 147 paginas, el valor debe leerse como cota inferior porque el ritmo de preparacion (20,8 pag./h) supera el rango recomendado por Fagan.</t>
  </si>
  <si>
    <t>M2 - DISTRIBUCION POR TIPO (grafico de barras)</t>
  </si>
  <si>
    <t>Tipo de defecto</t>
  </si>
  <si>
    <t>Cantidad</t>
  </si>
  <si>
    <t>Porcentaje</t>
  </si>
  <si>
    <t>Ambiguedad</t>
  </si>
  <si>
    <t>Completitud</t>
  </si>
  <si>
    <t>Consistencia</t>
  </si>
  <si>
    <t>Verificabilidad</t>
  </si>
  <si>
    <t>Trazabilidad</t>
  </si>
  <si>
    <t>Factibilidad</t>
  </si>
  <si>
    <t>La distribucion uniforme es consecuencia del diseno de la preparacion (un defecto por propiedad y por inspector) y no de una debilidad homogenea del ERS, por tanto esta metrica describe la cobertura del proceso de inspeccion, no el perfil de calidad del documento.</t>
  </si>
  <si>
    <t>M3 - DISTRIBUCION POR SEVERIDAD (grafico circular)</t>
  </si>
  <si>
    <t>Severidad</t>
  </si>
  <si>
    <t>Critico</t>
  </si>
  <si>
    <t>Mayor</t>
  </si>
  <si>
    <t>Menor</t>
  </si>
  <si>
    <t>Dos tercios de los hallazgos son mayores y solo un 22% menores: el ERS no falla en la forma sino en la consistencia entre secciones y en la trazabilidad de sus artefactos, que es donde se concentra el esfuerzo de correccion hacia la v1.1.</t>
  </si>
  <si>
    <t>M4 - TASA DE DETECCION POR INSPECTOR</t>
  </si>
  <si>
    <t>Inspector</t>
  </si>
  <si>
    <t>Rol Fagan</t>
  </si>
  <si>
    <t>Horas de preparacion</t>
  </si>
  <si>
    <t>Defectos por hora</t>
  </si>
  <si>
    <t>Morales Sanchez Gary Alejandro</t>
  </si>
  <si>
    <t>Moderador</t>
  </si>
  <si>
    <t>Sanchez Cornejo Gary Alberto</t>
  </si>
  <si>
    <t>Lector + Inspector 1</t>
  </si>
  <si>
    <t>Cedeno Coronado Wilson Lizandro</t>
  </si>
  <si>
    <t>Inspector 2</t>
  </si>
  <si>
    <t>Total / Media</t>
  </si>
  <si>
    <t>Los tres inspectores aportaron el mismo numero de defectos y ninguno quedo por debajo del minimo de 6 exigido, la menor tasa horaria de Sanchez es coherente con su doble rol de Lector e Inspector 1 autorizado por el docente.</t>
  </si>
  <si>
    <t>M5 - ESFUERZO TOTAL</t>
  </si>
  <si>
    <t>Actividad</t>
  </si>
  <si>
    <t>Horas-persona</t>
  </si>
  <si>
    <t>Preparacion individual</t>
  </si>
  <si>
    <t>Reunion de inspeccion</t>
  </si>
  <si>
    <t>Consolidacion y metricas</t>
  </si>
  <si>
    <t>TOTAL</t>
  </si>
  <si>
    <t>Eficiencia de deteccion</t>
  </si>
  <si>
    <t>defectos por hora-persona</t>
  </si>
  <si>
    <t>Ritmo de preparacion</t>
  </si>
  <si>
    <t>paginas por hora</t>
  </si>
  <si>
    <t>Mas de la mitad del esfuerzo se invirtio en la preparacion individual, que es lo que Fagan identifica como la fase determinante del rendimiento de la inspeccion, el coste unitario de 1,37 defectos por hora-persona situa la deteccion temprana muy por debajo del coste de corregir los mismos defectos en fases posteriores.</t>
  </si>
  <si>
    <t>ERS_SRS_2A_v1.0.pdf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</si>
</sst>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x14ac:knownFonts="1">
    <font>
      <sz val="11"/>
      <color theme="1"/>
      <name val="Calibri"/>
      <family val="2"/>
      <charset val="1"/>
    </font>
    <font>
      <b/>
      <sz val="14"/>
      <color rgb="FF1F4E78"/>
      <name val="Arial"/>
      <charset val="1"/>
    </font>
    <font>
      <b/>
      <sz val="11"/>
      <name val="Arial"/>
      <charset val="1"/>
    </font>
    <font>
      <sz val="11"/>
      <name val="Arial"/>
      <charset val="1"/>
    </font>
    <font>
      <b/>
      <sz val="11"/>
      <color rgb="FFFFFFFF"/>
      <name val="Arial"/>
      <charset val="1"/>
    </font>
  </fonts>
  <fills count="4">
    <fill>
      <patternFill patternType="none"/>
    </fill>
    <fill>
      <patternFill patternType="gray125"/>
    </fill>
    <fill>
      <patternFill patternType="solid">
        <fgColor rgb="FFD9E1F2"/>
        <bgColor rgb="FFD9D9D9"/>
      </patternFill>
    </fill>
    <fill>
      <patternFill patternType="solid">
        <fgColor rgb="FF1F4E78"/>
        <bgColor rgb="FF003366"/>
      </patternFill>
    </fill>
  </fills>
  <borders count="1">
    <border>
      <left/>
      <right/>
      <top/>
      <bottom/>
      <diagonal/>
    </border>
  </borders>
  <cellStyleXfs count="1">
    <xf numFmtId="0" fontId="0" fillId="0" borderId="0"/>
  </cellStyleXfs>
  <cellXfs count="11">
    <xf numFmtId="0" fontId="0" fillId="0" borderId="0" xfId="0"/>
    <xf numFmtId="0" fontId="3" fillId="0" borderId="0" xfId="0" applyFont="1" applyAlignment="1">
      <alignment vertical="top" wrapText="1"/>
    </xf>
    <xf numFmtId="0" fontId="2" fillId="2" borderId="0" xfId="0" applyFont="1" applyFill="1"/>
    <xf numFmtId="0" fontId="3" fillId="0" borderId="0" xfId="0" applyFont="1"/>
    <xf numFmtId="0" fontId="1" fillId="0" borderId="0" xfId="0" applyFont="1"/>
    <xf numFmtId="0" fontId="2" fillId="0" borderId="0" xfId="0" applyFont="1"/>
    <xf numFmtId="0" fontId="3" fillId="0" borderId="0" xfId="0" applyFont="1"/>
    <xf numFmtId="0" fontId="4" fillId="3" borderId="0" xfId="0" applyFont="1" applyFill="1"/>
    <xf numFmtId="164" fontId="3" fillId="0" borderId="0" xfId="0" applyNumberFormat="1" applyFont="1"/>
    <xf numFmtId="165" fontId="3" fillId="0" borderId="0" xfId="0" applyNumberFormat="1" applyFont="1"/>
    <xf numFmtId="9" fontId="3"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F99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Distribucion de defectos por tipo</a:t>
            </a:r>
          </a:p>
        </c:rich>
      </c:tx>
      <c:overlay val="0"/>
      <c:spPr>
        <a:noFill/>
        <a:ln w="0">
          <a:noFill/>
        </a:ln>
      </c:spPr>
    </c:title>
    <c:autoTitleDeleted val="0"/>
    <c:plotArea>
      <c:layout/>
      <c:barChart>
        <c:barDir val="col"/>
        <c:grouping val="clustered"/>
        <c:varyColors val="0"/>
        <c:ser>
          <c:idx val="0"/>
          <c:order val="0"/>
          <c:tx>
            <c:strRef>
              <c:f>metricas!$B$12</c:f>
              <c:strCache>
                <c:ptCount val="1"/>
                <c:pt idx="0">
                  <c:v>Cantidad</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metricas!$A$13:$A$18</c:f>
              <c:strCache>
                <c:ptCount val="6"/>
                <c:pt idx="0">
                  <c:v>Ambiguedad</c:v>
                </c:pt>
                <c:pt idx="1">
                  <c:v>Completitud</c:v>
                </c:pt>
                <c:pt idx="2">
                  <c:v>Consistencia</c:v>
                </c:pt>
                <c:pt idx="3">
                  <c:v>Verificabilidad</c:v>
                </c:pt>
                <c:pt idx="4">
                  <c:v>Trazabilidad</c:v>
                </c:pt>
                <c:pt idx="5">
                  <c:v>Factibilidad</c:v>
                </c:pt>
              </c:strCache>
            </c:strRef>
          </c:cat>
          <c:val>
            <c:numRef>
              <c:f>metricas!$B$13:$B$18</c:f>
              <c:numCache>
                <c:formatCode>General</c:formatCode>
                <c:ptCount val="6"/>
                <c:pt idx="0">
                  <c:v>3</c:v>
                </c:pt>
                <c:pt idx="1">
                  <c:v>3</c:v>
                </c:pt>
                <c:pt idx="2">
                  <c:v>3</c:v>
                </c:pt>
                <c:pt idx="3">
                  <c:v>3</c:v>
                </c:pt>
                <c:pt idx="4">
                  <c:v>3</c:v>
                </c:pt>
                <c:pt idx="5">
                  <c:v>3</c:v>
                </c:pt>
              </c:numCache>
            </c:numRef>
          </c:val>
          <c:extLst>
            <c:ext xmlns:c16="http://schemas.microsoft.com/office/drawing/2014/chart" uri="{C3380CC4-5D6E-409C-BE32-E72D297353CC}">
              <c16:uniqueId val="{00000000-E118-4807-ACE0-83B8C6403ED1}"/>
            </c:ext>
          </c:extLst>
        </c:ser>
        <c:dLbls>
          <c:showLegendKey val="0"/>
          <c:showVal val="0"/>
          <c:showCatName val="0"/>
          <c:showSerName val="0"/>
          <c:showPercent val="0"/>
          <c:showBubbleSize val="0"/>
        </c:dLbls>
        <c:gapWidth val="150"/>
        <c:axId val="98977420"/>
        <c:axId val="8045474"/>
      </c:barChart>
      <c:catAx>
        <c:axId val="98977420"/>
        <c:scaling>
          <c:orientation val="minMax"/>
        </c:scaling>
        <c:delete val="0"/>
        <c:axPos val="b"/>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Tipo de defecto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8045474"/>
        <c:crosses val="autoZero"/>
        <c:auto val="1"/>
        <c:lblAlgn val="ctr"/>
        <c:lblOffset val="100"/>
        <c:noMultiLvlLbl val="0"/>
      </c:catAx>
      <c:valAx>
        <c:axId val="804547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Cantidad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9897742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Distribucion de defectos por severidad</a:t>
            </a:r>
          </a:p>
        </c:rich>
      </c:tx>
      <c:overlay val="0"/>
      <c:spPr>
        <a:noFill/>
        <a:ln w="0">
          <a:noFill/>
        </a:ln>
      </c:spPr>
    </c:title>
    <c:autoTitleDeleted val="0"/>
    <c:plotArea>
      <c:layout/>
      <c:pieChart>
        <c:varyColors val="1"/>
        <c:ser>
          <c:idx val="0"/>
          <c:order val="0"/>
          <c:tx>
            <c:strRef>
              <c:f>metricas!$B$22</c:f>
              <c:strCache>
                <c:ptCount val="1"/>
                <c:pt idx="0">
                  <c:v>Cantidad</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EBCD-4543-8339-4777CBCE2635}"/>
              </c:ext>
            </c:extLst>
          </c:dPt>
          <c:dPt>
            <c:idx val="1"/>
            <c:bubble3D val="0"/>
            <c:spPr>
              <a:solidFill>
                <a:srgbClr val="C0504D"/>
              </a:solidFill>
              <a:ln w="0">
                <a:noFill/>
              </a:ln>
            </c:spPr>
            <c:extLst>
              <c:ext xmlns:c16="http://schemas.microsoft.com/office/drawing/2014/chart" uri="{C3380CC4-5D6E-409C-BE32-E72D297353CC}">
                <c16:uniqueId val="{00000003-EBCD-4543-8339-4777CBCE2635}"/>
              </c:ext>
            </c:extLst>
          </c:dPt>
          <c:dPt>
            <c:idx val="2"/>
            <c:bubble3D val="0"/>
            <c:spPr>
              <a:solidFill>
                <a:srgbClr val="9BBB59"/>
              </a:solidFill>
              <a:ln w="0">
                <a:noFill/>
              </a:ln>
            </c:spPr>
            <c:extLst>
              <c:ext xmlns:c16="http://schemas.microsoft.com/office/drawing/2014/chart" uri="{C3380CC4-5D6E-409C-BE32-E72D297353CC}">
                <c16:uniqueId val="{00000005-EBCD-4543-8339-4777CBCE2635}"/>
              </c:ext>
            </c:extLst>
          </c:dPt>
          <c:dLbls>
            <c:dLbl>
              <c:idx val="0"/>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1-EBCD-4543-8339-4777CBCE2635}"/>
                </c:ext>
              </c:extLst>
            </c:dLbl>
            <c:dLbl>
              <c:idx val="1"/>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3-EBCD-4543-8339-4777CBCE2635}"/>
                </c:ext>
              </c:extLst>
            </c:dLbl>
            <c:dLbl>
              <c:idx val="2"/>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5-EBCD-4543-8339-4777CBCE2635}"/>
                </c:ext>
              </c:extLst>
            </c:dLbl>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metricas!$A$23:$A$25</c:f>
              <c:strCache>
                <c:ptCount val="3"/>
                <c:pt idx="0">
                  <c:v>Critico</c:v>
                </c:pt>
                <c:pt idx="1">
                  <c:v>Mayor</c:v>
                </c:pt>
                <c:pt idx="2">
                  <c:v>Menor</c:v>
                </c:pt>
              </c:strCache>
            </c:strRef>
          </c:cat>
          <c:val>
            <c:numRef>
              <c:f>metricas!$B$23:$B$25</c:f>
              <c:numCache>
                <c:formatCode>General</c:formatCode>
                <c:ptCount val="3"/>
                <c:pt idx="0">
                  <c:v>2</c:v>
                </c:pt>
                <c:pt idx="1">
                  <c:v>12</c:v>
                </c:pt>
                <c:pt idx="2">
                  <c:v>4</c:v>
                </c:pt>
              </c:numCache>
            </c:numRef>
          </c:val>
          <c:extLst>
            <c:ext xmlns:c16="http://schemas.microsoft.com/office/drawing/2014/chart" uri="{C3380CC4-5D6E-409C-BE32-E72D297353CC}">
              <c16:uniqueId val="{00000006-EBCD-4543-8339-4777CBCE263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533400</xdr:colOff>
      <xdr:row>4</xdr:row>
      <xdr:rowOff>179610</xdr:rowOff>
    </xdr:from>
    <xdr:to>
      <xdr:col>15</xdr:col>
      <xdr:colOff>208695</xdr:colOff>
      <xdr:row>18</xdr:row>
      <xdr:rowOff>371190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160560</xdr:rowOff>
    </xdr:from>
    <xdr:to>
      <xdr:col>14</xdr:col>
      <xdr:colOff>147600</xdr:colOff>
      <xdr:row>33</xdr:row>
      <xdr:rowOff>352440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abSelected="1" zoomScaleNormal="100" workbookViewId="0">
      <selection activeCell="A6" sqref="A6:E6"/>
    </sheetView>
  </sheetViews>
  <sheetFormatPr baseColWidth="10" defaultColWidth="8.7109375" defaultRowHeight="15" x14ac:dyDescent="0.25"/>
  <cols>
    <col min="1" max="1" width="30" customWidth="1"/>
    <col min="2" max="2" width="45" customWidth="1"/>
    <col min="3" max="3" width="22" customWidth="1"/>
    <col min="4" max="4" width="18" customWidth="1"/>
    <col min="5" max="5" width="20" customWidth="1"/>
  </cols>
  <sheetData>
    <row r="1" spans="1:5" ht="18" x14ac:dyDescent="0.25">
      <c r="A1" s="4" t="s">
        <v>0</v>
      </c>
      <c r="B1" s="4"/>
      <c r="C1" s="4"/>
      <c r="D1" s="4"/>
      <c r="E1" s="4"/>
    </row>
    <row r="2" spans="1:5" x14ac:dyDescent="0.25">
      <c r="A2" s="5" t="s">
        <v>1</v>
      </c>
      <c r="B2" s="6" t="s">
        <v>56</v>
      </c>
      <c r="C2" s="5" t="s">
        <v>2</v>
      </c>
      <c r="D2" s="6">
        <v>147</v>
      </c>
      <c r="E2" s="6"/>
    </row>
    <row r="3" spans="1:5" x14ac:dyDescent="0.25">
      <c r="A3" s="5" t="s">
        <v>3</v>
      </c>
      <c r="B3" s="6">
        <v>18</v>
      </c>
      <c r="C3" s="5" t="s">
        <v>4</v>
      </c>
      <c r="D3" s="6">
        <v>13.18</v>
      </c>
      <c r="E3" s="6" t="s">
        <v>5</v>
      </c>
    </row>
    <row r="4" spans="1:5" x14ac:dyDescent="0.25">
      <c r="A4" s="5" t="s">
        <v>6</v>
      </c>
      <c r="B4" s="3" t="s">
        <v>7</v>
      </c>
      <c r="C4" s="3"/>
      <c r="D4" s="3"/>
      <c r="E4" s="3"/>
    </row>
    <row r="5" spans="1:5" x14ac:dyDescent="0.25">
      <c r="A5" s="6"/>
      <c r="B5" s="6"/>
      <c r="C5" s="6"/>
      <c r="D5" s="6"/>
      <c r="E5" s="6"/>
    </row>
    <row r="6" spans="1:5" x14ac:dyDescent="0.25">
      <c r="A6" s="2" t="s">
        <v>8</v>
      </c>
      <c r="B6" s="2"/>
      <c r="C6" s="2"/>
      <c r="D6" s="2"/>
      <c r="E6" s="2"/>
    </row>
    <row r="7" spans="1:5" x14ac:dyDescent="0.25">
      <c r="A7" s="7" t="s">
        <v>9</v>
      </c>
      <c r="B7" s="7" t="s">
        <v>10</v>
      </c>
      <c r="C7" s="7" t="s">
        <v>11</v>
      </c>
      <c r="D7" s="6"/>
      <c r="E7" s="6"/>
    </row>
    <row r="8" spans="1:5" x14ac:dyDescent="0.25">
      <c r="A8" s="6">
        <v>18</v>
      </c>
      <c r="B8" s="6">
        <v>147</v>
      </c>
      <c r="C8" s="8">
        <v>0.122</v>
      </c>
      <c r="D8" s="6"/>
      <c r="E8" s="6"/>
    </row>
    <row r="9" spans="1:5" ht="45" customHeight="1" x14ac:dyDescent="0.25">
      <c r="A9" s="5" t="s">
        <v>12</v>
      </c>
      <c r="B9" s="1" t="s">
        <v>13</v>
      </c>
      <c r="C9" s="1"/>
      <c r="D9" s="1"/>
      <c r="E9" s="1"/>
    </row>
    <row r="10" spans="1:5" x14ac:dyDescent="0.25">
      <c r="A10" s="6"/>
      <c r="B10" s="6"/>
      <c r="C10" s="6"/>
      <c r="D10" s="6"/>
      <c r="E10" s="6"/>
    </row>
    <row r="11" spans="1:5" x14ac:dyDescent="0.25">
      <c r="A11" s="2" t="s">
        <v>14</v>
      </c>
      <c r="B11" s="2"/>
      <c r="C11" s="2"/>
      <c r="D11" s="2"/>
      <c r="E11" s="2"/>
    </row>
    <row r="12" spans="1:5" x14ac:dyDescent="0.25">
      <c r="A12" s="7" t="s">
        <v>15</v>
      </c>
      <c r="B12" s="7" t="s">
        <v>16</v>
      </c>
      <c r="C12" s="7" t="s">
        <v>17</v>
      </c>
      <c r="D12" s="6"/>
      <c r="E12" s="6"/>
    </row>
    <row r="13" spans="1:5" x14ac:dyDescent="0.25">
      <c r="A13" s="6" t="s">
        <v>18</v>
      </c>
      <c r="B13" s="6">
        <v>3</v>
      </c>
      <c r="C13" s="9">
        <v>0.16700000000000001</v>
      </c>
      <c r="D13" s="6"/>
      <c r="E13" s="6"/>
    </row>
    <row r="14" spans="1:5" x14ac:dyDescent="0.25">
      <c r="A14" s="6" t="s">
        <v>19</v>
      </c>
      <c r="B14" s="6">
        <v>3</v>
      </c>
      <c r="C14" s="9">
        <v>0.16700000000000001</v>
      </c>
      <c r="D14" s="6"/>
      <c r="E14" s="6"/>
    </row>
    <row r="15" spans="1:5" x14ac:dyDescent="0.25">
      <c r="A15" s="6" t="s">
        <v>20</v>
      </c>
      <c r="B15" s="6">
        <v>3</v>
      </c>
      <c r="C15" s="9">
        <v>0.16700000000000001</v>
      </c>
      <c r="D15" s="6"/>
      <c r="E15" s="6"/>
    </row>
    <row r="16" spans="1:5" x14ac:dyDescent="0.25">
      <c r="A16" s="6" t="s">
        <v>21</v>
      </c>
      <c r="B16" s="6">
        <v>3</v>
      </c>
      <c r="C16" s="9">
        <v>0.16700000000000001</v>
      </c>
      <c r="D16" s="6"/>
      <c r="E16" s="6"/>
    </row>
    <row r="17" spans="1:5" x14ac:dyDescent="0.25">
      <c r="A17" s="6" t="s">
        <v>22</v>
      </c>
      <c r="B17" s="6">
        <v>3</v>
      </c>
      <c r="C17" s="9">
        <v>0.16700000000000001</v>
      </c>
      <c r="D17" s="6"/>
      <c r="E17" s="6"/>
    </row>
    <row r="18" spans="1:5" x14ac:dyDescent="0.25">
      <c r="A18" s="6" t="s">
        <v>23</v>
      </c>
      <c r="B18" s="6">
        <v>3</v>
      </c>
      <c r="C18" s="9">
        <v>0.16700000000000001</v>
      </c>
      <c r="D18" s="6"/>
      <c r="E18" s="6"/>
    </row>
    <row r="19" spans="1:5" ht="45" customHeight="1" x14ac:dyDescent="0.25">
      <c r="A19" s="5" t="s">
        <v>12</v>
      </c>
      <c r="B19" s="1" t="s">
        <v>24</v>
      </c>
      <c r="C19" s="1"/>
      <c r="D19" s="1"/>
      <c r="E19" s="1"/>
    </row>
    <row r="20" spans="1:5" x14ac:dyDescent="0.25">
      <c r="A20" s="6"/>
      <c r="B20" s="6"/>
      <c r="C20" s="6"/>
      <c r="D20" s="6"/>
      <c r="E20" s="6"/>
    </row>
    <row r="21" spans="1:5" x14ac:dyDescent="0.25">
      <c r="A21" s="2" t="s">
        <v>25</v>
      </c>
      <c r="B21" s="2"/>
      <c r="C21" s="2"/>
      <c r="D21" s="2"/>
      <c r="E21" s="2"/>
    </row>
    <row r="22" spans="1:5" x14ac:dyDescent="0.25">
      <c r="A22" s="7" t="s">
        <v>26</v>
      </c>
      <c r="B22" s="7" t="s">
        <v>16</v>
      </c>
      <c r="C22" s="7" t="s">
        <v>17</v>
      </c>
      <c r="D22" s="6"/>
      <c r="E22" s="6"/>
    </row>
    <row r="23" spans="1:5" x14ac:dyDescent="0.25">
      <c r="A23" s="6" t="s">
        <v>27</v>
      </c>
      <c r="B23" s="6">
        <v>2</v>
      </c>
      <c r="C23" s="9">
        <v>0.111</v>
      </c>
      <c r="D23" s="6"/>
      <c r="E23" s="6"/>
    </row>
    <row r="24" spans="1:5" x14ac:dyDescent="0.25">
      <c r="A24" s="6" t="s">
        <v>28</v>
      </c>
      <c r="B24" s="6">
        <v>12</v>
      </c>
      <c r="C24" s="9">
        <v>0.66700000000000004</v>
      </c>
      <c r="D24" s="6"/>
      <c r="E24" s="6"/>
    </row>
    <row r="25" spans="1:5" x14ac:dyDescent="0.25">
      <c r="A25" s="6" t="s">
        <v>29</v>
      </c>
      <c r="B25" s="6">
        <v>4</v>
      </c>
      <c r="C25" s="9">
        <v>0.222</v>
      </c>
      <c r="D25" s="6"/>
      <c r="E25" s="6"/>
    </row>
    <row r="26" spans="1:5" ht="45" customHeight="1" x14ac:dyDescent="0.25">
      <c r="A26" s="5" t="s">
        <v>12</v>
      </c>
      <c r="B26" s="1" t="s">
        <v>30</v>
      </c>
      <c r="C26" s="1"/>
      <c r="D26" s="1"/>
      <c r="E26" s="1"/>
    </row>
    <row r="27" spans="1:5" x14ac:dyDescent="0.25">
      <c r="A27" s="6"/>
      <c r="B27" s="6"/>
      <c r="C27" s="6"/>
      <c r="D27" s="6"/>
      <c r="E27" s="6"/>
    </row>
    <row r="28" spans="1:5" x14ac:dyDescent="0.25">
      <c r="A28" s="2" t="s">
        <v>31</v>
      </c>
      <c r="B28" s="2"/>
      <c r="C28" s="2"/>
      <c r="D28" s="2"/>
      <c r="E28" s="2"/>
    </row>
    <row r="29" spans="1:5" x14ac:dyDescent="0.25">
      <c r="A29" s="7" t="s">
        <v>32</v>
      </c>
      <c r="B29" s="7" t="s">
        <v>33</v>
      </c>
      <c r="C29" s="7" t="s">
        <v>9</v>
      </c>
      <c r="D29" s="7" t="s">
        <v>34</v>
      </c>
      <c r="E29" s="7" t="s">
        <v>35</v>
      </c>
    </row>
    <row r="30" spans="1:5" x14ac:dyDescent="0.25">
      <c r="A30" s="6" t="s">
        <v>36</v>
      </c>
      <c r="B30" s="6" t="s">
        <v>37</v>
      </c>
      <c r="C30" s="6">
        <v>6</v>
      </c>
      <c r="D30" s="6">
        <v>2.25</v>
      </c>
      <c r="E30" s="6">
        <v>2.67</v>
      </c>
    </row>
    <row r="31" spans="1:5" x14ac:dyDescent="0.25">
      <c r="A31" s="6" t="s">
        <v>38</v>
      </c>
      <c r="B31" s="6" t="s">
        <v>39</v>
      </c>
      <c r="C31" s="6">
        <v>6</v>
      </c>
      <c r="D31" s="6">
        <v>2.58</v>
      </c>
      <c r="E31" s="6">
        <v>2.33</v>
      </c>
    </row>
    <row r="32" spans="1:5" x14ac:dyDescent="0.25">
      <c r="A32" s="6" t="s">
        <v>40</v>
      </c>
      <c r="B32" s="6" t="s">
        <v>41</v>
      </c>
      <c r="C32" s="6">
        <v>6</v>
      </c>
      <c r="D32" s="6">
        <v>2.25</v>
      </c>
      <c r="E32" s="6">
        <v>2.67</v>
      </c>
    </row>
    <row r="33" spans="1:5" x14ac:dyDescent="0.25">
      <c r="A33" s="5" t="s">
        <v>42</v>
      </c>
      <c r="B33" s="6"/>
      <c r="C33" s="6">
        <f>SUM(C30:C32)</f>
        <v>18</v>
      </c>
      <c r="D33" s="6">
        <f>SUM(D30:D32)</f>
        <v>7.08</v>
      </c>
      <c r="E33" s="6">
        <f>ROUND(C33/D33,2)</f>
        <v>2.54</v>
      </c>
    </row>
    <row r="34" spans="1:5" ht="45" customHeight="1" x14ac:dyDescent="0.25">
      <c r="A34" s="5" t="s">
        <v>12</v>
      </c>
      <c r="B34" s="1" t="s">
        <v>43</v>
      </c>
      <c r="C34" s="1"/>
      <c r="D34" s="1"/>
      <c r="E34" s="1"/>
    </row>
    <row r="35" spans="1:5" x14ac:dyDescent="0.25">
      <c r="A35" s="6"/>
      <c r="B35" s="6"/>
      <c r="C35" s="6"/>
      <c r="D35" s="6"/>
      <c r="E35" s="6"/>
    </row>
    <row r="36" spans="1:5" x14ac:dyDescent="0.25">
      <c r="A36" s="2" t="s">
        <v>44</v>
      </c>
      <c r="B36" s="2"/>
      <c r="C36" s="2"/>
      <c r="D36" s="2"/>
      <c r="E36" s="2"/>
    </row>
    <row r="37" spans="1:5" x14ac:dyDescent="0.25">
      <c r="A37" s="7" t="s">
        <v>45</v>
      </c>
      <c r="B37" s="7" t="s">
        <v>46</v>
      </c>
      <c r="C37" s="7" t="s">
        <v>17</v>
      </c>
      <c r="D37" s="6"/>
      <c r="E37" s="6"/>
    </row>
    <row r="38" spans="1:5" x14ac:dyDescent="0.25">
      <c r="A38" s="6" t="s">
        <v>47</v>
      </c>
      <c r="B38" s="6">
        <v>7.08</v>
      </c>
      <c r="C38" s="9">
        <v>0.53700000000000003</v>
      </c>
      <c r="D38" s="6"/>
      <c r="E38" s="6"/>
    </row>
    <row r="39" spans="1:5" x14ac:dyDescent="0.25">
      <c r="A39" s="6" t="s">
        <v>48</v>
      </c>
      <c r="B39" s="6">
        <v>4.5999999999999996</v>
      </c>
      <c r="C39" s="9">
        <v>0.34899999999999998</v>
      </c>
      <c r="D39" s="6"/>
      <c r="E39" s="6"/>
    </row>
    <row r="40" spans="1:5" x14ac:dyDescent="0.25">
      <c r="A40" s="6" t="s">
        <v>49</v>
      </c>
      <c r="B40" s="6">
        <v>1.5</v>
      </c>
      <c r="C40" s="9">
        <v>0.114</v>
      </c>
      <c r="D40" s="6"/>
      <c r="E40" s="6"/>
    </row>
    <row r="41" spans="1:5" x14ac:dyDescent="0.25">
      <c r="A41" s="5" t="s">
        <v>50</v>
      </c>
      <c r="B41" s="6">
        <f>SUM(B38:B40)</f>
        <v>13.18</v>
      </c>
      <c r="C41" s="10">
        <v>1</v>
      </c>
      <c r="D41" s="6"/>
      <c r="E41" s="6"/>
    </row>
    <row r="42" spans="1:5" x14ac:dyDescent="0.25">
      <c r="A42" s="5" t="s">
        <v>51</v>
      </c>
      <c r="B42" s="6">
        <v>1.37</v>
      </c>
      <c r="C42" s="6" t="s">
        <v>52</v>
      </c>
      <c r="D42" s="6"/>
      <c r="E42" s="6"/>
    </row>
    <row r="43" spans="1:5" x14ac:dyDescent="0.25">
      <c r="A43" s="5" t="s">
        <v>53</v>
      </c>
      <c r="B43" s="6">
        <v>20.8</v>
      </c>
      <c r="C43" s="6" t="s">
        <v>54</v>
      </c>
      <c r="D43" s="6"/>
      <c r="E43" s="6"/>
    </row>
    <row r="44" spans="1:5" ht="45" customHeight="1" x14ac:dyDescent="0.25">
      <c r="A44" s="5" t="s">
        <v>12</v>
      </c>
      <c r="B44" s="1" t="s">
        <v>55</v>
      </c>
      <c r="C44" s="1"/>
      <c r="D44" s="1"/>
      <c r="E44" s="1"/>
    </row>
  </sheetData>
  <mergeCells count="12">
    <mergeCell ref="A36:E36"/>
    <mergeCell ref="B44:E44"/>
    <mergeCell ref="B19:E19"/>
    <mergeCell ref="A21:E21"/>
    <mergeCell ref="B26:E26"/>
    <mergeCell ref="A28:E28"/>
    <mergeCell ref="B34:E34"/>
    <mergeCell ref="A1:E1"/>
    <mergeCell ref="B4:E4"/>
    <mergeCell ref="A6:E6"/>
    <mergeCell ref="B9:E9"/>
    <mergeCell ref="A11:E1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BLEACH</cp:lastModifiedBy>
  <cp:revision>1</cp:revision>
  <dcterms:created xsi:type="dcterms:W3CDTF">2026-08-09T19:28:15Z</dcterms:created>
  <dcterms:modified xsi:type="dcterms:W3CDTF">2026-08-09T19:30:48Z</dcterms:modified>
  <dc:language>en-US</dc:language>
</cp:coreProperties>
</file>