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Trazabili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<sst xmlns="http://schemas.openxmlformats.org/spreadsheetml/2006/main" count="112" uniqueCount="83">
  <si>
    <t xml:space="preserve">MATRIZ DE TRAZABILIDAD EXTENDIDA</t>
  </si>
  <si>
    <t xml:space="preserve">Backlog AnexoD | Sistema: MundiPets | Formato: Stakeholder -&gt; RF -&gt; CU -&gt; Clase/Modulo -&gt; Prueba</t>
  </si>
  <si>
    <t xml:space="preserve">RF</t>
  </si>
  <si>
    <t xml:space="preserve">Stakeholder</t>
  </si>
  <si>
    <t xml:space="preserve">CU</t>
  </si>
  <si>
    <t xml:space="preserve">Clase/Módulo</t>
  </si>
  <si>
    <t xml:space="preserve">Prueba</t>
  </si>
  <si>
    <t xml:space="preserve">RF-01</t>
  </si>
  <si>
    <t xml:space="preserve">Propietario</t>
  </si>
  <si>
    <t xml:space="preserve">CU-01</t>
  </si>
  <si>
    <t xml:space="preserve">Mascota</t>
  </si>
  <si>
    <t xml:space="preserve">CA-01</t>
  </si>
  <si>
    <t xml:space="preserve">RF-02</t>
  </si>
  <si>
    <t xml:space="preserve">Veterinaria</t>
  </si>
  <si>
    <t xml:space="preserve">CU-02</t>
  </si>
  <si>
    <t xml:space="preserve">HistorialMedico</t>
  </si>
  <si>
    <t xml:space="preserve">CA-02</t>
  </si>
  <si>
    <t xml:space="preserve">RF-03</t>
  </si>
  <si>
    <t xml:space="preserve">Adoptante</t>
  </si>
  <si>
    <t xml:space="preserve">CU-10</t>
  </si>
  <si>
    <t xml:space="preserve">CA-03</t>
  </si>
  <si>
    <t xml:space="preserve">RF-04</t>
  </si>
  <si>
    <t xml:space="preserve">CU-11</t>
  </si>
  <si>
    <t xml:space="preserve">Publicacion</t>
  </si>
  <si>
    <t xml:space="preserve">—</t>
  </si>
  <si>
    <t xml:space="preserve">RF-05</t>
  </si>
  <si>
    <t xml:space="preserve">CU-04</t>
  </si>
  <si>
    <t xml:space="preserve">CA-04</t>
  </si>
  <si>
    <t xml:space="preserve">RF-06</t>
  </si>
  <si>
    <t xml:space="preserve">Interesado en cruza</t>
  </si>
  <si>
    <t xml:space="preserve">CU-13</t>
  </si>
  <si>
    <t xml:space="preserve">RegistroCompatibilidad</t>
  </si>
  <si>
    <t xml:space="preserve">CA-05</t>
  </si>
  <si>
    <t xml:space="preserve">RF-07</t>
  </si>
  <si>
    <t xml:space="preserve">CU-08</t>
  </si>
  <si>
    <t xml:space="preserve">Mensaje</t>
  </si>
  <si>
    <t xml:space="preserve">RF-08</t>
  </si>
  <si>
    <t xml:space="preserve">CU-05</t>
  </si>
  <si>
    <t xml:space="preserve">SolicitudCruza</t>
  </si>
  <si>
    <t xml:space="preserve">CA-06</t>
  </si>
  <si>
    <t xml:space="preserve">RF-09</t>
  </si>
  <si>
    <t xml:space="preserve">CU-09</t>
  </si>
  <si>
    <t xml:space="preserve">CertificadoVeterinario</t>
  </si>
  <si>
    <t xml:space="preserve">CA-07</t>
  </si>
  <si>
    <t xml:space="preserve">RF-10</t>
  </si>
  <si>
    <t xml:space="preserve">CU-12</t>
  </si>
  <si>
    <t xml:space="preserve">RF-11</t>
  </si>
  <si>
    <t xml:space="preserve">CU-06</t>
  </si>
  <si>
    <t xml:space="preserve">Usuario (privacidad)</t>
  </si>
  <si>
    <t xml:space="preserve">CA-08</t>
  </si>
  <si>
    <t xml:space="preserve">RF-12</t>
  </si>
  <si>
    <t xml:space="preserve">Todos los usuarios</t>
  </si>
  <si>
    <t xml:space="preserve">Usuario</t>
  </si>
  <si>
    <t xml:space="preserve">CA-09</t>
  </si>
  <si>
    <t xml:space="preserve">RF-13</t>
  </si>
  <si>
    <t xml:space="preserve">Propietario / Refugio</t>
  </si>
  <si>
    <t xml:space="preserve">CA-10</t>
  </si>
  <si>
    <t xml:space="preserve">RF-14</t>
  </si>
  <si>
    <t xml:space="preserve">CU-03</t>
  </si>
  <si>
    <t xml:space="preserve">HistorialMedico (vacunas)</t>
  </si>
  <si>
    <t xml:space="preserve">CA-11</t>
  </si>
  <si>
    <t xml:space="preserve">RF-15</t>
  </si>
  <si>
    <t xml:space="preserve">CU-07</t>
  </si>
  <si>
    <t xml:space="preserve">RF-16</t>
  </si>
  <si>
    <t xml:space="preserve">AntecedenteGenetico</t>
  </si>
  <si>
    <t xml:space="preserve">CA-12</t>
  </si>
  <si>
    <t xml:space="preserve">RF-17</t>
  </si>
  <si>
    <t xml:space="preserve">RF-18</t>
  </si>
  <si>
    <t xml:space="preserve">Adoptante / Propietario</t>
  </si>
  <si>
    <t xml:space="preserve">SolicitudAdopcion</t>
  </si>
  <si>
    <t xml:space="preserve">CA-13</t>
  </si>
  <si>
    <t xml:space="preserve">RF-23</t>
  </si>
  <si>
    <t xml:space="preserve">Propietario / Interesado en cruza</t>
  </si>
  <si>
    <t xml:space="preserve">AlertaRiesgo</t>
  </si>
  <si>
    <t xml:space="preserve">CA-15</t>
  </si>
  <si>
    <t xml:space="preserve">RF-25</t>
  </si>
  <si>
    <t xml:space="preserve">CU-14</t>
  </si>
  <si>
    <t xml:space="preserve">AvisoExtraviado</t>
  </si>
  <si>
    <t xml:space="preserve">Nota: filas resaltadas en naranja = requisitos huérfanos (sin Caso de Uso asignado en el backlog). RF-12 y RF-17: registrados como "Transversal a Onboarding" y "Transversal a Publicaciones" en el backlog, sin CU dedicado formalmente documentado.</t>
  </si>
  <si>
    <t xml:space="preserve">Resumen:</t>
  </si>
  <si>
    <t xml:space="preserve">Total de requisitos trazados:</t>
  </si>
  <si>
    <t xml:space="preserve">Con Caso de Uso asignado:</t>
  </si>
  <si>
    <t xml:space="preserve">Requisitos huérfanos (sin CU):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</si>
</sst>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5CD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5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10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19</v>
      </c>
      <c r="D7" s="4" t="s">
        <v>15</v>
      </c>
      <c r="E7" s="4" t="s">
        <v>20</v>
      </c>
    </row>
    <row r="8" customFormat="false" ht="15" hidden="false" customHeight="false" outlineLevel="0" collapsed="false">
      <c r="A8" s="4" t="s">
        <v>21</v>
      </c>
      <c r="B8" s="4" t="s">
        <v>18</v>
      </c>
      <c r="C8" s="4" t="s">
        <v>22</v>
      </c>
      <c r="D8" s="4" t="s">
        <v>23</v>
      </c>
      <c r="E8" s="4" t="s">
        <v>24</v>
      </c>
    </row>
    <row r="9" customFormat="false" ht="15" hidden="false" customHeight="false" outlineLevel="0" collapsed="false">
      <c r="A9" s="4" t="s">
        <v>25</v>
      </c>
      <c r="B9" s="4" t="s">
        <v>8</v>
      </c>
      <c r="C9" s="4" t="s">
        <v>26</v>
      </c>
      <c r="D9" s="4" t="s">
        <v>23</v>
      </c>
      <c r="E9" s="4" t="s">
        <v>27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</row>
    <row r="11" customFormat="false" ht="15" hidden="false" customHeight="false" outlineLevel="0" collapsed="false">
      <c r="A11" s="4" t="s">
        <v>33</v>
      </c>
      <c r="B11" s="4" t="s">
        <v>8</v>
      </c>
      <c r="C11" s="4" t="s">
        <v>34</v>
      </c>
      <c r="D11" s="4" t="s">
        <v>35</v>
      </c>
      <c r="E11" s="4" t="s">
        <v>24</v>
      </c>
    </row>
    <row r="12" customFormat="false" ht="15" hidden="false" customHeight="false" outlineLevel="0" collapsed="false">
      <c r="A12" s="4" t="s">
        <v>36</v>
      </c>
      <c r="B12" s="4" t="s">
        <v>29</v>
      </c>
      <c r="C12" s="4" t="s">
        <v>37</v>
      </c>
      <c r="D12" s="4" t="s">
        <v>38</v>
      </c>
      <c r="E12" s="4" t="s">
        <v>39</v>
      </c>
    </row>
    <row r="13" customFormat="false" ht="15" hidden="false" customHeight="false" outlineLevel="0" collapsed="false">
      <c r="A13" s="4" t="s">
        <v>40</v>
      </c>
      <c r="B13" s="4" t="s">
        <v>13</v>
      </c>
      <c r="C13" s="4" t="s">
        <v>41</v>
      </c>
      <c r="D13" s="4" t="s">
        <v>42</v>
      </c>
      <c r="E13" s="4" t="s">
        <v>43</v>
      </c>
    </row>
    <row r="14" customFormat="false" ht="15" hidden="false" customHeight="false" outlineLevel="0" collapsed="false">
      <c r="A14" s="4" t="s">
        <v>44</v>
      </c>
      <c r="B14" s="4" t="s">
        <v>8</v>
      </c>
      <c r="C14" s="4" t="s">
        <v>45</v>
      </c>
      <c r="D14" s="4" t="s">
        <v>24</v>
      </c>
      <c r="E14" s="4" t="s">
        <v>24</v>
      </c>
    </row>
    <row r="15" customFormat="false" ht="15" hidden="false" customHeight="false" outlineLevel="0" collapsed="false">
      <c r="A15" s="4" t="s">
        <v>46</v>
      </c>
      <c r="B15" s="4" t="s">
        <v>8</v>
      </c>
      <c r="C15" s="4" t="s">
        <v>47</v>
      </c>
      <c r="D15" s="4" t="s">
        <v>48</v>
      </c>
      <c r="E15" s="4" t="s">
        <v>49</v>
      </c>
    </row>
    <row r="16" customFormat="false" ht="15" hidden="false" customHeight="false" outlineLevel="0" collapsed="false">
      <c r="A16" s="5" t="s">
        <v>50</v>
      </c>
      <c r="B16" s="5" t="s">
        <v>51</v>
      </c>
      <c r="C16" s="5" t="s">
        <v>24</v>
      </c>
      <c r="D16" s="5" t="s">
        <v>52</v>
      </c>
      <c r="E16" s="5" t="s">
        <v>53</v>
      </c>
    </row>
    <row r="17" customFormat="false" ht="15" hidden="false" customHeight="false" outlineLevel="0" collapsed="false">
      <c r="A17" s="4" t="s">
        <v>54</v>
      </c>
      <c r="B17" s="4" t="s">
        <v>55</v>
      </c>
      <c r="C17" s="4" t="s">
        <v>26</v>
      </c>
      <c r="D17" s="4" t="s">
        <v>23</v>
      </c>
      <c r="E17" s="4" t="s">
        <v>56</v>
      </c>
    </row>
    <row r="18" customFormat="false" ht="15" hidden="false" customHeight="false" outlineLevel="0" collapsed="false">
      <c r="A18" s="4" t="s">
        <v>57</v>
      </c>
      <c r="B18" s="4" t="s">
        <v>13</v>
      </c>
      <c r="C18" s="4" t="s">
        <v>58</v>
      </c>
      <c r="D18" s="4" t="s">
        <v>59</v>
      </c>
      <c r="E18" s="4" t="s">
        <v>60</v>
      </c>
    </row>
    <row r="19" customFormat="false" ht="15" hidden="false" customHeight="false" outlineLevel="0" collapsed="false">
      <c r="A19" s="4" t="s">
        <v>61</v>
      </c>
      <c r="B19" s="4" t="s">
        <v>8</v>
      </c>
      <c r="C19" s="4" t="s">
        <v>62</v>
      </c>
      <c r="D19" s="4" t="s">
        <v>24</v>
      </c>
      <c r="E19" s="4" t="s">
        <v>24</v>
      </c>
    </row>
    <row r="20" customFormat="false" ht="15" hidden="false" customHeight="false" outlineLevel="0" collapsed="false">
      <c r="A20" s="4" t="s">
        <v>63</v>
      </c>
      <c r="B20" s="4" t="s">
        <v>29</v>
      </c>
      <c r="C20" s="4" t="s">
        <v>14</v>
      </c>
      <c r="D20" s="4" t="s">
        <v>64</v>
      </c>
      <c r="E20" s="4" t="s">
        <v>65</v>
      </c>
    </row>
    <row r="21" customFormat="false" ht="15" hidden="false" customHeight="false" outlineLevel="0" collapsed="false">
      <c r="A21" s="5" t="s">
        <v>66</v>
      </c>
      <c r="B21" s="5" t="s">
        <v>8</v>
      </c>
      <c r="C21" s="5" t="s">
        <v>24</v>
      </c>
      <c r="D21" s="5" t="s">
        <v>24</v>
      </c>
      <c r="E21" s="5" t="s">
        <v>24</v>
      </c>
    </row>
    <row r="22" customFormat="false" ht="15" hidden="false" customHeight="false" outlineLevel="0" collapsed="false">
      <c r="A22" s="4" t="s">
        <v>67</v>
      </c>
      <c r="B22" s="4" t="s">
        <v>68</v>
      </c>
      <c r="C22" s="4" t="s">
        <v>26</v>
      </c>
      <c r="D22" s="4" t="s">
        <v>69</v>
      </c>
      <c r="E22" s="4" t="s">
        <v>70</v>
      </c>
    </row>
    <row r="23" customFormat="false" ht="15" hidden="false" customHeight="false" outlineLevel="0" collapsed="false">
      <c r="A23" s="4" t="s">
        <v>71</v>
      </c>
      <c r="B23" s="4" t="s">
        <v>72</v>
      </c>
      <c r="C23" s="4" t="s">
        <v>47</v>
      </c>
      <c r="D23" s="4" t="s">
        <v>73</v>
      </c>
      <c r="E23" s="4" t="s">
        <v>74</v>
      </c>
    </row>
    <row r="24" customFormat="false" ht="15" hidden="false" customHeight="false" outlineLevel="0" collapsed="false">
      <c r="A24" s="4" t="s">
        <v>75</v>
      </c>
      <c r="B24" s="4" t="s">
        <v>8</v>
      </c>
      <c r="C24" s="4" t="s">
        <v>76</v>
      </c>
      <c r="D24" s="4" t="s">
        <v>77</v>
      </c>
      <c r="E24" s="4" t="s">
        <v>24</v>
      </c>
    </row>
    <row r="26" customFormat="false" ht="39.75" hidden="false" customHeight="true" outlineLevel="0" collapsed="false">
      <c r="A26" s="6" t="s">
        <v>78</v>
      </c>
      <c r="B26" s="6"/>
      <c r="C26" s="6"/>
      <c r="D26" s="6"/>
      <c r="E26" s="6"/>
    </row>
    <row r="28" customFormat="false" ht="15" hidden="false" customHeight="false" outlineLevel="0" collapsed="false">
      <c r="A28" s="7" t="s">
        <v>79</v>
      </c>
    </row>
    <row r="29" customFormat="false" ht="15" hidden="false" customHeight="false" outlineLevel="0" collapsed="false">
      <c r="A29" s="8" t="s">
        <v>80</v>
      </c>
      <c r="B29" s="9" t="n">
        <f aca="false">COUNTA(A5:A24)</f>
        <v>20</v>
      </c>
    </row>
    <row r="30" customFormat="false" ht="15" hidden="false" customHeight="false" outlineLevel="0" collapsed="false">
      <c r="A30" s="8" t="s">
        <v>81</v>
      </c>
      <c r="B30" s="9" t="n">
        <f aca="false">COUNTIF(C5:C24,"CU-*")</f>
        <v>18</v>
      </c>
    </row>
    <row r="31" customFormat="false" ht="15" hidden="false" customHeight="false" outlineLevel="0" collapsed="false">
      <c r="A31" s="8" t="s">
        <v>82</v>
      </c>
      <c r="B31" s="9" t="n">
        <f aca="false">COUNTIF(C5:C24,"—")</f>
        <v>2</v>
      </c>
    </row>
  </sheetData>
  <mergeCells count="3">
    <mergeCell ref="A1:E1"/>
    <mergeCell ref="A2:E2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2026-08-10T03:28:19Z</dcterms:created>
  <dc:creator>openpyxl</dc:creator>
  <dc:description/>
  <dc:language>en-US</dc:language>
  <cp:lastModifiedBy/>
  <dcterms:modified xsi:type="dcterms:W3CDTF">2026-08-10T03:28:19Z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